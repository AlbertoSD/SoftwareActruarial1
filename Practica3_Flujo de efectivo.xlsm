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 activeTab="3"/>
  </bookViews>
  <sheets>
    <sheet name="Hoja4" sheetId="6" r:id="rId1"/>
    <sheet name="Hoja3" sheetId="5" r:id="rId2"/>
    <sheet name="Hoja2" sheetId="4" r:id="rId3"/>
    <sheet name="Hoja7" sheetId="9" r:id="rId4"/>
    <sheet name="Hoja6" sheetId="8" r:id="rId5"/>
    <sheet name="Hoja5" sheetId="7" r:id="rId6"/>
    <sheet name="Hoja1" sheetId="1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G11" i="1" l="1"/>
  <c r="H11" i="1"/>
  <c r="I11" i="1"/>
  <c r="J11" i="1"/>
  <c r="K11" i="1"/>
  <c r="L11" i="1"/>
  <c r="M11" i="1"/>
  <c r="N11" i="1"/>
  <c r="O11" i="1"/>
  <c r="F11" i="1"/>
  <c r="H10" i="1"/>
  <c r="I10" i="1"/>
  <c r="J10" i="1"/>
  <c r="K10" i="1"/>
  <c r="L10" i="1" s="1"/>
  <c r="M10" i="1" s="1"/>
  <c r="N10" i="1" s="1"/>
  <c r="O10" i="1" s="1"/>
  <c r="F10" i="1"/>
  <c r="G10" i="1" s="1"/>
</calcChain>
</file>

<file path=xl/sharedStrings.xml><?xml version="1.0" encoding="utf-8"?>
<sst xmlns="http://schemas.openxmlformats.org/spreadsheetml/2006/main" count="83" uniqueCount="19">
  <si>
    <t>Datos de entrada</t>
  </si>
  <si>
    <t>2. Flujo de entrada al final del año 1</t>
  </si>
  <si>
    <t xml:space="preserve">3. Tasa de incremento del flujo de entrada al año </t>
  </si>
  <si>
    <t>4. Número de años de los flujos de entrada</t>
  </si>
  <si>
    <t>5. Tasa de descuento</t>
  </si>
  <si>
    <t>Cálculo de el valor presente neto de una serie de flujos</t>
  </si>
  <si>
    <t>1. Flujo de salida al inicio del año 1 (Inv. inicial)</t>
  </si>
  <si>
    <t>Año</t>
  </si>
  <si>
    <t>Modelo de flujos</t>
  </si>
  <si>
    <t>Flujo de efectivo</t>
  </si>
  <si>
    <t>OwO</t>
  </si>
  <si>
    <t>(Interés simple)</t>
  </si>
  <si>
    <t>Factor de descuento</t>
  </si>
  <si>
    <t>Valor Presente Neto</t>
  </si>
  <si>
    <t>tInc</t>
  </si>
  <si>
    <t>n</t>
  </si>
  <si>
    <t>i</t>
  </si>
  <si>
    <t>1. Flujo de salida al inicio del año 1(Inv. inicial)</t>
  </si>
  <si>
    <t>3. Tasa de incremento del flujo de entrada al año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</si>
</sst>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9" fontId="0" fillId="2" borderId="0" xfId="0" applyNumberFormat="1" applyFill="1"/>
    <xf numFmtId="44" fontId="0" fillId="0" borderId="0" xfId="1" applyFont="1"/>
    <xf numFmtId="44" fontId="0" fillId="2" borderId="0" xfId="1" applyFont="1" applyFill="1"/>
    <xf numFmtId="44" fontId="0" fillId="0" borderId="0" xfId="0" applyNumberFormat="1"/>
    <xf numFmtId="0" fontId="3" fillId="0" borderId="0" xfId="0" applyFont="1"/>
    <xf numFmtId="9" fontId="0" fillId="2" borderId="0" xfId="2" applyFont="1" applyFill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3" fillId="0" borderId="0" xfId="0" applyFont="1" applyAlignment="1">
      <alignment horizontal="left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K13"/>
  <sheetViews>
    <sheetView workbookViewId="0">
      <selection activeCell="B10" sqref="B10:K10 B13"/>
    </sheetView>
  </sheetViews>
  <sheetFormatPr baseColWidth="10" defaultRowHeight="14.4" x14ac:dyDescent="0.3"/>
  <cols>
    <col min="1" max="1" width="41.21875" bestFit="1" customWidth="1"/>
    <col min="2" max="2" width="12" bestFit="1" customWidth="1"/>
    <col min="3" max="4" width="11.109375" bestFit="1" customWidth="1"/>
    <col min="5" max="11" width="12" bestFit="1" customWidth="1"/>
  </cols>
  <sheetData>
    <row r="1" spans="1:11" x14ac:dyDescent="0.3">
      <c r="A1" s="8" t="s">
        <v>0</v>
      </c>
    </row>
    <row r="2" spans="1:11" x14ac:dyDescent="0.3">
      <c r="A2" t="s">
        <v>17</v>
      </c>
      <c r="B2" s="6">
        <v>40000</v>
      </c>
    </row>
    <row r="3" spans="1:11" x14ac:dyDescent="0.3">
      <c r="A3" t="s">
        <v>1</v>
      </c>
      <c r="B3" s="6">
        <v>12000</v>
      </c>
    </row>
    <row r="4" spans="1:11" x14ac:dyDescent="0.3">
      <c r="A4" t="s">
        <v>18</v>
      </c>
      <c r="B4" s="9">
        <v>0.11999999731779099</v>
      </c>
    </row>
    <row r="5" spans="1:11" x14ac:dyDescent="0.3">
      <c r="A5" t="s">
        <v>3</v>
      </c>
      <c r="B5" s="1">
        <v>10</v>
      </c>
    </row>
    <row r="6" spans="1:11" x14ac:dyDescent="0.3">
      <c r="A6" t="s">
        <v>4</v>
      </c>
      <c r="B6" s="9">
        <v>0.15999999642372131</v>
      </c>
    </row>
    <row r="8" spans="1:11" x14ac:dyDescent="0.3">
      <c r="A8" s="8" t="s">
        <v>8</v>
      </c>
    </row>
    <row r="9" spans="1:11" x14ac:dyDescent="0.3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3">
      <c r="A10" t="s">
        <v>9</v>
      </c>
      <c r="B10" s="5">
        <v>12000</v>
      </c>
      <c r="C10" s="5">
        <v>13440.000057220459</v>
      </c>
      <c r="D10" s="5">
        <v>15052.800128173829</v>
      </c>
      <c r="E10" s="5">
        <v>16859.136215332033</v>
      </c>
      <c r="F10" s="5">
        <v>18882.232641562499</v>
      </c>
      <c r="G10" s="5">
        <v>21148.100648587504</v>
      </c>
      <c r="H10" s="5">
        <v>23685.872827260006</v>
      </c>
      <c r="I10" s="5">
        <v>26528.177679474251</v>
      </c>
      <c r="J10" s="5">
        <v>29711.559127507371</v>
      </c>
      <c r="K10" s="5">
        <v>33276.946364484007</v>
      </c>
    </row>
    <row r="11" spans="1:11" x14ac:dyDescent="0.3">
      <c r="A11" t="s">
        <v>12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3">
      <c r="A13" t="s">
        <v>13</v>
      </c>
      <c r="B13" s="5">
        <v>70040.837917748897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3"/>
  <sheetViews>
    <sheetView workbookViewId="0">
      <selection activeCell="A18" sqref="A18"/>
    </sheetView>
  </sheetViews>
  <sheetFormatPr baseColWidth="10" defaultRowHeight="14.4" x14ac:dyDescent="0.3"/>
  <cols>
    <col min="1" max="1" width="41.21875" bestFit="1" customWidth="1"/>
    <col min="2" max="2" width="12" bestFit="1" customWidth="1"/>
    <col min="3" max="4" width="11.109375" bestFit="1" customWidth="1"/>
    <col min="5" max="11" width="12" bestFit="1" customWidth="1"/>
  </cols>
  <sheetData>
    <row r="1" spans="1:11" x14ac:dyDescent="0.3">
      <c r="A1" s="8" t="s">
        <v>0</v>
      </c>
    </row>
    <row r="2" spans="1:11" x14ac:dyDescent="0.3">
      <c r="A2" t="s">
        <v>17</v>
      </c>
      <c r="B2" s="6">
        <v>40000</v>
      </c>
    </row>
    <row r="3" spans="1:11" x14ac:dyDescent="0.3">
      <c r="A3" t="s">
        <v>1</v>
      </c>
      <c r="B3" s="6">
        <v>12000</v>
      </c>
    </row>
    <row r="4" spans="1:11" x14ac:dyDescent="0.3">
      <c r="A4" t="s">
        <v>18</v>
      </c>
      <c r="B4" s="9">
        <v>0.11999999731779099</v>
      </c>
    </row>
    <row r="5" spans="1:11" x14ac:dyDescent="0.3">
      <c r="A5" t="s">
        <v>3</v>
      </c>
      <c r="B5" s="1">
        <v>10</v>
      </c>
    </row>
    <row r="6" spans="1:11" x14ac:dyDescent="0.3">
      <c r="A6" t="s">
        <v>4</v>
      </c>
      <c r="B6" s="9">
        <v>0.15999999642372131</v>
      </c>
    </row>
    <row r="8" spans="1:11" x14ac:dyDescent="0.3">
      <c r="A8" s="8" t="s">
        <v>8</v>
      </c>
    </row>
    <row r="9" spans="1:11" x14ac:dyDescent="0.3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3">
      <c r="A10" t="s">
        <v>9</v>
      </c>
      <c r="B10" s="5">
        <v>12000</v>
      </c>
      <c r="C10" s="5">
        <v>13440.000057220459</v>
      </c>
      <c r="D10" s="5">
        <v>15052.800128173829</v>
      </c>
      <c r="E10" s="5">
        <v>16859.136215332033</v>
      </c>
      <c r="F10" s="5">
        <v>18882.232641562499</v>
      </c>
      <c r="G10" s="5">
        <v>21148.100648587504</v>
      </c>
      <c r="H10" s="5">
        <v>23685.872827260006</v>
      </c>
      <c r="I10" s="5">
        <v>26528.177679474251</v>
      </c>
      <c r="J10" s="5">
        <v>29711.559127507371</v>
      </c>
      <c r="K10" s="5">
        <v>33276.946364484007</v>
      </c>
    </row>
    <row r="11" spans="1:11" x14ac:dyDescent="0.3">
      <c r="A11" t="s">
        <v>12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3">
      <c r="A13" t="s">
        <v>13</v>
      </c>
      <c r="B13" s="5">
        <v>70040.837917748897</v>
      </c>
    </row>
  </sheetData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3"/>
  <sheetViews>
    <sheetView workbookViewId="0">
      <selection activeCell="B13" sqref="B13"/>
    </sheetView>
  </sheetViews>
  <sheetFormatPr baseColWidth="10" defaultRowHeight="14.4" x14ac:dyDescent="0.3"/>
  <cols>
    <col min="1" max="1" width="41.21875" bestFit="1" customWidth="1"/>
    <col min="2" max="2" width="12" bestFit="1" customWidth="1"/>
    <col min="3" max="4" width="11.109375" bestFit="1" customWidth="1"/>
    <col min="5" max="11" width="12" bestFit="1" customWidth="1"/>
  </cols>
  <sheetData>
    <row r="1" spans="1:11" x14ac:dyDescent="0.3">
      <c r="A1" s="8" t="s">
        <v>0</v>
      </c>
    </row>
    <row r="2" spans="1:11" x14ac:dyDescent="0.3">
      <c r="A2" t="s">
        <v>17</v>
      </c>
      <c r="B2" s="6">
        <v>40000</v>
      </c>
    </row>
    <row r="3" spans="1:11" x14ac:dyDescent="0.3">
      <c r="A3" t="s">
        <v>1</v>
      </c>
      <c r="B3" s="6">
        <v>12000</v>
      </c>
    </row>
    <row r="4" spans="1:11" x14ac:dyDescent="0.3">
      <c r="A4" t="s">
        <v>18</v>
      </c>
      <c r="B4" s="9">
        <v>0.11999999731779099</v>
      </c>
    </row>
    <row r="5" spans="1:11" x14ac:dyDescent="0.3">
      <c r="A5" t="s">
        <v>3</v>
      </c>
      <c r="B5" s="1">
        <v>10</v>
      </c>
    </row>
    <row r="6" spans="1:11" x14ac:dyDescent="0.3">
      <c r="A6" t="s">
        <v>4</v>
      </c>
      <c r="B6" s="9">
        <v>0.15999999642372131</v>
      </c>
    </row>
    <row r="8" spans="1:11" x14ac:dyDescent="0.3">
      <c r="A8" s="8" t="s">
        <v>8</v>
      </c>
    </row>
    <row r="9" spans="1:11" x14ac:dyDescent="0.3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3">
      <c r="A10" t="s">
        <v>9</v>
      </c>
      <c r="B10" s="5">
        <v>12000</v>
      </c>
      <c r="C10" s="5">
        <v>13440.000057220459</v>
      </c>
      <c r="D10" s="5">
        <v>15052.800128173829</v>
      </c>
      <c r="E10" s="5">
        <v>16859.136215332033</v>
      </c>
      <c r="F10" s="5">
        <v>18882.232641562499</v>
      </c>
      <c r="G10" s="5">
        <v>21148.100648587504</v>
      </c>
      <c r="H10" s="5">
        <v>23685.872827260006</v>
      </c>
      <c r="I10" s="5">
        <v>26528.177679474251</v>
      </c>
      <c r="J10" s="5">
        <v>29711.559127507371</v>
      </c>
      <c r="K10" s="5">
        <v>33276.946364484007</v>
      </c>
    </row>
    <row r="11" spans="1:11" x14ac:dyDescent="0.3">
      <c r="A11" t="s">
        <v>12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3">
      <c r="A13" t="s">
        <v>13</v>
      </c>
      <c r="B13" s="5">
        <v>70040.837917748897</v>
      </c>
    </row>
  </sheetData>
  <pageMargins left="0.7" right="0.7" top="0.75" bottom="0.75" header="0.3" footer="0.3"/>
  <pageSetup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13"/>
  <sheetViews>
    <sheetView tabSelected="1" workbookViewId="0">
      <selection activeCell="A11" sqref="A11"/>
    </sheetView>
  </sheetViews>
  <sheetFormatPr baseColWidth="10" defaultRowHeight="14.4" x14ac:dyDescent="0.3"/>
  <cols>
    <col min="1" max="1" width="41.21875" bestFit="1" customWidth="1"/>
    <col min="2" max="2" width="12" bestFit="1" customWidth="1"/>
    <col min="3" max="4" width="11.109375" bestFit="1" customWidth="1"/>
    <col min="5" max="11" width="12" bestFit="1" customWidth="1"/>
  </cols>
  <sheetData>
    <row r="1" spans="1:11" x14ac:dyDescent="0.3">
      <c r="A1" s="8" t="s">
        <v>0</v>
      </c>
    </row>
    <row r="2" spans="1:11" x14ac:dyDescent="0.3">
      <c r="A2" t="s">
        <v>17</v>
      </c>
      <c r="B2" s="6">
        <v>40000</v>
      </c>
    </row>
    <row r="3" spans="1:11" x14ac:dyDescent="0.3">
      <c r="A3" t="s">
        <v>1</v>
      </c>
      <c r="B3" s="6">
        <v>12000</v>
      </c>
    </row>
    <row r="4" spans="1:11" x14ac:dyDescent="0.3">
      <c r="A4" t="s">
        <v>18</v>
      </c>
      <c r="B4" s="9">
        <v>0.11999999731779099</v>
      </c>
    </row>
    <row r="5" spans="1:11" x14ac:dyDescent="0.3">
      <c r="A5" t="s">
        <v>3</v>
      </c>
      <c r="B5" s="1">
        <v>10</v>
      </c>
    </row>
    <row r="6" spans="1:11" x14ac:dyDescent="0.3">
      <c r="A6" t="s">
        <v>4</v>
      </c>
      <c r="B6" s="9">
        <v>0.15999999642372131</v>
      </c>
    </row>
    <row r="8" spans="1:11" x14ac:dyDescent="0.3">
      <c r="A8" s="8" t="s">
        <v>8</v>
      </c>
    </row>
    <row r="9" spans="1:11" x14ac:dyDescent="0.3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3">
      <c r="A10" t="s">
        <v>9</v>
      </c>
      <c r="B10" s="5">
        <v>12000</v>
      </c>
      <c r="C10" s="5">
        <v>13440.000057220459</v>
      </c>
      <c r="D10" s="5">
        <v>15052.800128173829</v>
      </c>
      <c r="E10" s="5">
        <v>16859.136215332033</v>
      </c>
      <c r="F10" s="5">
        <v>18882.232641562499</v>
      </c>
      <c r="G10" s="5">
        <v>21148.100648587504</v>
      </c>
      <c r="H10" s="5">
        <v>23685.872827260006</v>
      </c>
      <c r="I10" s="5">
        <v>26528.177679474251</v>
      </c>
      <c r="J10" s="5">
        <v>29711.559127507371</v>
      </c>
      <c r="K10" s="5">
        <v>33276.946364484007</v>
      </c>
    </row>
    <row r="11" spans="1:11" x14ac:dyDescent="0.3">
      <c r="A11" t="s">
        <v>12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3">
      <c r="A13" t="s">
        <v>13</v>
      </c>
      <c r="B13" s="5">
        <v>70040.837917748897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3"/>
  <sheetViews>
    <sheetView workbookViewId="0">
      <selection activeCell="B2" sqref="B2"/>
    </sheetView>
  </sheetViews>
  <sheetFormatPr baseColWidth="10" defaultRowHeight="14.4" x14ac:dyDescent="0.3"/>
  <cols>
    <col min="1" max="1" width="41.21875" bestFit="1" customWidth="1"/>
    <col min="2" max="2" width="12" bestFit="1" customWidth="1"/>
    <col min="3" max="4" width="11.109375" bestFit="1" customWidth="1"/>
    <col min="5" max="11" width="12" bestFit="1" customWidth="1"/>
  </cols>
  <sheetData>
    <row r="1" spans="1:11" x14ac:dyDescent="0.3">
      <c r="A1" s="8" t="s">
        <v>0</v>
      </c>
    </row>
    <row r="2" spans="1:11" x14ac:dyDescent="0.3">
      <c r="A2" t="s">
        <v>17</v>
      </c>
      <c r="B2" s="6">
        <v>40000</v>
      </c>
    </row>
    <row r="3" spans="1:11" x14ac:dyDescent="0.3">
      <c r="A3" t="s">
        <v>1</v>
      </c>
      <c r="B3" s="6">
        <v>12000</v>
      </c>
    </row>
    <row r="4" spans="1:11" x14ac:dyDescent="0.3">
      <c r="A4" t="s">
        <v>18</v>
      </c>
      <c r="B4" s="9">
        <v>0.11999999731779099</v>
      </c>
    </row>
    <row r="5" spans="1:11" x14ac:dyDescent="0.3">
      <c r="A5" t="s">
        <v>3</v>
      </c>
      <c r="B5" s="1">
        <v>10</v>
      </c>
    </row>
    <row r="6" spans="1:11" x14ac:dyDescent="0.3">
      <c r="A6" t="s">
        <v>4</v>
      </c>
      <c r="B6" s="9">
        <v>0.15999999642372131</v>
      </c>
    </row>
    <row r="8" spans="1:11" x14ac:dyDescent="0.3">
      <c r="A8" s="8" t="s">
        <v>8</v>
      </c>
    </row>
    <row r="9" spans="1:11" x14ac:dyDescent="0.3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3">
      <c r="A10" t="s">
        <v>9</v>
      </c>
      <c r="B10" s="5">
        <v>12000</v>
      </c>
      <c r="C10" s="5">
        <v>13440.000057220459</v>
      </c>
      <c r="D10" s="5">
        <v>15052.800128173829</v>
      </c>
      <c r="E10" s="5">
        <v>16859.136215332033</v>
      </c>
      <c r="F10" s="5">
        <v>18882.232641562499</v>
      </c>
      <c r="G10" s="5">
        <v>21148.100648587504</v>
      </c>
      <c r="H10" s="5">
        <v>23685.872827260006</v>
      </c>
      <c r="I10" s="5">
        <v>26528.177679474251</v>
      </c>
      <c r="J10" s="5">
        <v>29711.559127507371</v>
      </c>
      <c r="K10" s="5">
        <v>33276.946364484007</v>
      </c>
    </row>
    <row r="11" spans="1:11" x14ac:dyDescent="0.3">
      <c r="A11" t="s">
        <v>12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3">
      <c r="A13" t="s">
        <v>13</v>
      </c>
      <c r="B13" s="5">
        <v>70040.837917748897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13"/>
  <sheetViews>
    <sheetView workbookViewId="0">
      <selection activeCell="E10" sqref="E10"/>
    </sheetView>
  </sheetViews>
  <sheetFormatPr baseColWidth="10" defaultRowHeight="14.4" x14ac:dyDescent="0.3"/>
  <cols>
    <col min="1" max="1" width="41.21875" bestFit="1" customWidth="1"/>
    <col min="2" max="2" width="12" bestFit="1" customWidth="1"/>
    <col min="3" max="4" width="11.109375" bestFit="1" customWidth="1"/>
    <col min="5" max="11" width="12" bestFit="1" customWidth="1"/>
  </cols>
  <sheetData>
    <row r="1" spans="1:11" x14ac:dyDescent="0.3">
      <c r="A1" s="8" t="s">
        <v>0</v>
      </c>
    </row>
    <row r="2" spans="1:11" x14ac:dyDescent="0.3">
      <c r="A2" t="s">
        <v>17</v>
      </c>
      <c r="B2" s="6">
        <v>40000</v>
      </c>
    </row>
    <row r="3" spans="1:11" x14ac:dyDescent="0.3">
      <c r="A3" t="s">
        <v>1</v>
      </c>
      <c r="B3" s="6">
        <v>12000</v>
      </c>
    </row>
    <row r="4" spans="1:11" x14ac:dyDescent="0.3">
      <c r="A4" t="s">
        <v>18</v>
      </c>
      <c r="B4" s="9">
        <v>0.11999999731779099</v>
      </c>
    </row>
    <row r="5" spans="1:11" x14ac:dyDescent="0.3">
      <c r="A5" t="s">
        <v>3</v>
      </c>
      <c r="B5" s="1">
        <v>10</v>
      </c>
    </row>
    <row r="6" spans="1:11" x14ac:dyDescent="0.3">
      <c r="A6" t="s">
        <v>4</v>
      </c>
      <c r="B6" s="9">
        <v>0.15999999642372131</v>
      </c>
    </row>
    <row r="8" spans="1:11" x14ac:dyDescent="0.3">
      <c r="A8" s="8" t="s">
        <v>8</v>
      </c>
    </row>
    <row r="9" spans="1:11" x14ac:dyDescent="0.3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3">
      <c r="A10" t="s">
        <v>9</v>
      </c>
      <c r="B10" s="5">
        <v>12000</v>
      </c>
      <c r="C10" s="5">
        <v>13440.000057220459</v>
      </c>
      <c r="D10" s="5">
        <v>15052.800128173829</v>
      </c>
      <c r="F10" s="5">
        <v>18882.232641562499</v>
      </c>
      <c r="G10" s="5">
        <v>21148.100648587504</v>
      </c>
      <c r="H10" s="5">
        <v>23685.872827260006</v>
      </c>
      <c r="I10" s="5">
        <v>26528.177679474251</v>
      </c>
      <c r="J10" s="5">
        <v>29711.559127507371</v>
      </c>
      <c r="K10" s="5">
        <v>33276.946364484007</v>
      </c>
    </row>
    <row r="11" spans="1:11" x14ac:dyDescent="0.3">
      <c r="A11" t="s">
        <v>12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3">
      <c r="A13" t="s">
        <v>13</v>
      </c>
      <c r="B13" s="5">
        <v>70040.837917748897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FD1048576"/>
  <sheetViews>
    <sheetView workbookViewId="0">
      <selection activeCell="D19" sqref="D19"/>
    </sheetView>
  </sheetViews>
  <sheetFormatPr baseColWidth="10" defaultColWidth="8.88671875" defaultRowHeight="14.4" x14ac:dyDescent="0.3"/>
  <cols>
    <col min="1" max="1" width="9.109375" customWidth="1"/>
    <col min="6" max="6" width="12.109375" bestFit="1" customWidth="1"/>
    <col min="7" max="7" width="13.44140625" bestFit="1" customWidth="1"/>
    <col min="8" max="15" width="11.109375" bestFit="1" customWidth="1"/>
    <col min="17" max="17" width="11.33203125" bestFit="1" customWidth="1"/>
  </cols>
  <sheetData>
    <row r="1" spans="1:17" ht="15.6" x14ac:dyDescent="0.3">
      <c r="A1" s="11" t="s">
        <v>0</v>
      </c>
      <c r="B1" s="11"/>
      <c r="C1" s="11"/>
      <c r="D1" s="11"/>
      <c r="E1" s="11"/>
      <c r="H1" s="12" t="s">
        <v>5</v>
      </c>
      <c r="I1" s="12"/>
      <c r="J1" s="12"/>
      <c r="K1" s="12"/>
      <c r="L1" s="12"/>
      <c r="M1" s="12"/>
    </row>
    <row r="2" spans="1:17" x14ac:dyDescent="0.3">
      <c r="A2" s="10" t="s">
        <v>6</v>
      </c>
      <c r="B2" s="10"/>
      <c r="C2" s="10"/>
      <c r="D2" s="10"/>
      <c r="E2" s="10"/>
      <c r="F2" s="6">
        <v>40000</v>
      </c>
    </row>
    <row r="3" spans="1:17" x14ac:dyDescent="0.3">
      <c r="A3" s="10" t="s">
        <v>1</v>
      </c>
      <c r="B3" s="10"/>
      <c r="C3" s="10"/>
      <c r="D3" s="10"/>
      <c r="E3" s="10"/>
      <c r="F3" s="6">
        <v>12000</v>
      </c>
    </row>
    <row r="4" spans="1:17" x14ac:dyDescent="0.3">
      <c r="A4" s="10" t="s">
        <v>2</v>
      </c>
      <c r="B4" s="10"/>
      <c r="C4" s="10"/>
      <c r="D4" s="10"/>
      <c r="E4" s="10"/>
      <c r="F4" s="4">
        <v>0.12</v>
      </c>
      <c r="H4" t="s">
        <v>14</v>
      </c>
    </row>
    <row r="5" spans="1:17" x14ac:dyDescent="0.3">
      <c r="A5" s="10" t="s">
        <v>3</v>
      </c>
      <c r="B5" s="10"/>
      <c r="C5" s="10"/>
      <c r="D5" s="10"/>
      <c r="E5" s="10"/>
      <c r="F5" s="1">
        <v>10</v>
      </c>
      <c r="H5" t="s">
        <v>15</v>
      </c>
    </row>
    <row r="6" spans="1:17" x14ac:dyDescent="0.3">
      <c r="A6" s="10" t="s">
        <v>4</v>
      </c>
      <c r="B6" s="10"/>
      <c r="C6" s="10"/>
      <c r="D6" s="10"/>
      <c r="E6" s="10"/>
      <c r="F6" s="4">
        <v>0.16</v>
      </c>
      <c r="G6" t="s">
        <v>11</v>
      </c>
      <c r="H6" t="s">
        <v>16</v>
      </c>
    </row>
    <row r="7" spans="1:17" x14ac:dyDescent="0.3">
      <c r="A7" s="3"/>
      <c r="B7" s="3"/>
      <c r="C7" s="3"/>
      <c r="D7" s="3"/>
      <c r="E7" s="3"/>
    </row>
    <row r="8" spans="1:17" x14ac:dyDescent="0.3">
      <c r="A8" s="13" t="s">
        <v>8</v>
      </c>
      <c r="B8" s="13"/>
      <c r="C8" s="13"/>
      <c r="D8" s="13"/>
      <c r="E8" s="13"/>
    </row>
    <row r="9" spans="1:17" x14ac:dyDescent="0.3">
      <c r="A9" s="10" t="s">
        <v>7</v>
      </c>
      <c r="B9" s="10"/>
      <c r="C9" s="10"/>
      <c r="D9" s="10"/>
      <c r="E9" s="10"/>
      <c r="F9" s="2">
        <v>1</v>
      </c>
      <c r="G9">
        <v>2</v>
      </c>
      <c r="H9">
        <v>3</v>
      </c>
      <c r="I9">
        <v>4</v>
      </c>
      <c r="J9">
        <v>5</v>
      </c>
      <c r="K9">
        <v>6</v>
      </c>
      <c r="L9">
        <v>7</v>
      </c>
      <c r="M9">
        <v>8</v>
      </c>
      <c r="N9">
        <v>9</v>
      </c>
      <c r="O9">
        <v>10</v>
      </c>
    </row>
    <row r="10" spans="1:17" x14ac:dyDescent="0.3">
      <c r="A10" s="10" t="s">
        <v>9</v>
      </c>
      <c r="B10" s="10"/>
      <c r="C10" s="10"/>
      <c r="D10" s="10"/>
      <c r="E10" s="10"/>
      <c r="F10" s="5">
        <f>F3</f>
        <v>12000</v>
      </c>
      <c r="G10" s="5">
        <f>F10*(1+$F$4)</f>
        <v>13440.000000000002</v>
      </c>
      <c r="H10" s="5">
        <f t="shared" ref="H10:O10" si="0">G10*(1+$F$4)</f>
        <v>15052.800000000003</v>
      </c>
      <c r="I10" s="5">
        <f t="shared" si="0"/>
        <v>16859.136000000006</v>
      </c>
      <c r="J10" s="5">
        <f t="shared" si="0"/>
        <v>18882.23232000001</v>
      </c>
      <c r="K10" s="5">
        <f t="shared" si="0"/>
        <v>21148.100198400014</v>
      </c>
      <c r="L10" s="5">
        <f t="shared" si="0"/>
        <v>23685.872222208018</v>
      </c>
      <c r="M10" s="5">
        <f t="shared" si="0"/>
        <v>26528.176888872982</v>
      </c>
      <c r="N10" s="5">
        <f t="shared" si="0"/>
        <v>29711.558115537744</v>
      </c>
      <c r="O10" s="5">
        <f t="shared" si="0"/>
        <v>33276.945089402274</v>
      </c>
      <c r="Q10" s="5"/>
    </row>
    <row r="11" spans="1:17" x14ac:dyDescent="0.3">
      <c r="A11" s="10" t="s">
        <v>12</v>
      </c>
      <c r="B11" s="10"/>
      <c r="C11" s="10"/>
      <c r="D11" s="10"/>
      <c r="E11" s="10"/>
      <c r="F11">
        <f>1/(1+F9*$F$6)</f>
        <v>0.86206896551724144</v>
      </c>
      <c r="G11">
        <f t="shared" ref="G11:O11" si="1">1/(1+G9*$F$6)</f>
        <v>0.75757575757575757</v>
      </c>
      <c r="H11">
        <f t="shared" si="1"/>
        <v>0.67567567567567566</v>
      </c>
      <c r="I11">
        <f t="shared" si="1"/>
        <v>0.6097560975609756</v>
      </c>
      <c r="J11">
        <f t="shared" si="1"/>
        <v>0.55555555555555558</v>
      </c>
      <c r="K11">
        <f t="shared" si="1"/>
        <v>0.51020408163265307</v>
      </c>
      <c r="L11">
        <f t="shared" si="1"/>
        <v>0.47169811320754712</v>
      </c>
      <c r="M11">
        <f t="shared" si="1"/>
        <v>0.43859649122807015</v>
      </c>
      <c r="N11">
        <f t="shared" si="1"/>
        <v>0.4098360655737705</v>
      </c>
      <c r="O11">
        <f t="shared" si="1"/>
        <v>0.38461538461538458</v>
      </c>
    </row>
    <row r="13" spans="1:17" x14ac:dyDescent="0.3">
      <c r="A13" s="10" t="s">
        <v>13</v>
      </c>
      <c r="B13" s="10"/>
      <c r="C13" s="10"/>
      <c r="D13" s="10"/>
      <c r="E13" s="10"/>
      <c r="F13" s="7">
        <f>-F2+F10*F11+G10*G11+H10*H11+I10*I11+J10*J11+K10*K11+L10*L11+M10*M11+N10*N11+O10*O11</f>
        <v>70040.833314664094</v>
      </c>
    </row>
    <row r="1048576" spans="16384:16384" x14ac:dyDescent="0.3">
      <c r="XFD1048576" t="s">
        <v>10</v>
      </c>
    </row>
  </sheetData>
  <mergeCells count="12">
    <mergeCell ref="A11:E11"/>
    <mergeCell ref="A13:E13"/>
    <mergeCell ref="A6:E6"/>
    <mergeCell ref="A1:E1"/>
    <mergeCell ref="H1:M1"/>
    <mergeCell ref="A9:E9"/>
    <mergeCell ref="A8:E8"/>
    <mergeCell ref="A10:E10"/>
    <mergeCell ref="A2:E2"/>
    <mergeCell ref="A3:E3"/>
    <mergeCell ref="A4:E4"/>
    <mergeCell ref="A5:E5"/>
  </mergeCells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Hoja4</vt:lpstr>
      <vt:lpstr>Hoja3</vt:lpstr>
      <vt:lpstr>Hoja2</vt:lpstr>
      <vt:lpstr>Hoja7</vt:lpstr>
      <vt:lpstr>Hoja6</vt:lpstr>
      <vt:lpstr>Hoja5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2019-03-09T21:54:23Z</dcterms:modified>
</cp:coreProperties>
</file>